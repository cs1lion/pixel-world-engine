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览" sheetId="1" state="visible" r:id="rId3"/>
    <sheet name="通道" sheetId="2" state="visible" r:id="rId4"/>
    <sheet name="关系与传播" sheetId="3" state="visible" r:id="rId5"/>
    <sheet name="传言生命周期" sheetId="4" state="visible" r:id="rId6"/>
    <sheet name="世界公告" sheetId="5" state="visible" r:id="rId7"/>
    <sheet name="架构影响" sheetId="6" state="visible" r:id="rId8"/>
    <sheet name="新增事件类型" sheetId="7" state="visible" r:id="rId9"/>
    <sheet name="护栏与评测" sheetId="8" state="visible" r:id="rId10"/>
    <sheet name="落地顺序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<sst xmlns="http://schemas.openxmlformats.org/spreadsheetml/2006/main" count="284" uniqueCount="214">
  <si>
    <t xml:space="preserve">单位间感知与信息传播设计</t>
  </si>
  <si>
    <t xml:space="preserve">来源：像素世界记忆系统设计讨论（上一轮回答）。本工作簿按主题拆分为多个工作表。</t>
  </si>
  <si>
    <t xml:space="preserve">概念</t>
  </si>
  <si>
    <t xml:space="preserve">说明</t>
  </si>
  <si>
    <t xml:space="preserve">核心原则</t>
  </si>
  <si>
    <t xml:space="preserve">世界状态不能对单位全局可读：每个单位只知道自己感知到的，或别人告诉它的。传言、公告、关系沟通是同一件事的不同通道。</t>
  </si>
  <si>
    <t xml:space="preserve">事件（真相）</t>
  </si>
  <si>
    <t xml:space="preserve">世界中实际发生的事，是唯一真相。</t>
  </si>
  <si>
    <r>
      <rPr>
        <b val="true"/>
        <sz val="10"/>
        <rFont val="Noto Sans CJK SC"/>
        <family val="2"/>
      </rPr>
      <t xml:space="preserve">断言 </t>
    </r>
    <r>
      <rPr>
        <b val="true"/>
        <sz val="10"/>
        <rFont val="Arial"/>
        <family val="0"/>
        <charset val="1"/>
      </rPr>
      <t xml:space="preserve">Claim</t>
    </r>
  </si>
  <si>
    <t xml:space="preserve">对某个事件的一种说法，结构化记录：关于什么、谁、何地、哪天、细节层级、情绪倾向、来源链。</t>
  </si>
  <si>
    <r>
      <rPr>
        <b val="true"/>
        <sz val="10"/>
        <rFont val="Noto Sans CJK SC"/>
        <family val="2"/>
      </rPr>
      <t xml:space="preserve">信念 </t>
    </r>
    <r>
      <rPr>
        <b val="true"/>
        <sz val="10"/>
        <rFont val="Arial"/>
        <family val="0"/>
        <charset val="1"/>
      </rPr>
      <t xml:space="preserve">Belief</t>
    </r>
  </si>
  <si>
    <t xml:space="preserve">某个单位持有的断言，带可信度、来源和获知时间。</t>
  </si>
  <si>
    <t xml:space="preserve">传言的来源</t>
  </si>
  <si>
    <t xml:space="preserve">真相和信念之间的差距。</t>
  </si>
  <si>
    <t xml:space="preserve">强制约束</t>
  </si>
  <si>
    <r>
      <rPr>
        <sz val="10"/>
        <rFont val="Noto Sans CJK SC"/>
        <family val="2"/>
      </rPr>
      <t xml:space="preserve">单位逻辑只能读自己的信念库，不能读全局世界状态，这一条要在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层强制。</t>
    </r>
  </si>
  <si>
    <t xml:space="preserve">工作表索引</t>
  </si>
  <si>
    <t xml:space="preserve">通道</t>
  </si>
  <si>
    <t xml:space="preserve">五类信息通道及其参数</t>
  </si>
  <si>
    <t xml:space="preserve">关系与传播</t>
  </si>
  <si>
    <t xml:space="preserve">关系图、谁告诉谁、听者信不信、建筑节点</t>
  </si>
  <si>
    <t xml:space="preserve">传言生命周期</t>
  </si>
  <si>
    <t xml:space="preserve">传言从诞生到固化的各阶段</t>
  </si>
  <si>
    <t xml:space="preserve">世界公告</t>
  </si>
  <si>
    <r>
      <rPr>
        <sz val="10"/>
        <rFont val="Noto Sans CJK SC"/>
        <family val="2"/>
      </rPr>
      <t xml:space="preserve">官方与民间公告、日报、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事件入口</t>
    </r>
  </si>
  <si>
    <t xml:space="preserve">架构影响</t>
  </si>
  <si>
    <r>
      <rPr>
        <sz val="10"/>
        <rFont val="Noto Sans CJK SC"/>
        <family val="2"/>
      </rPr>
      <t xml:space="preserve">对架构的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项影响（含状态跟踪）</t>
    </r>
  </si>
  <si>
    <t xml:space="preserve">新增事件类型</t>
  </si>
  <si>
    <t xml:space="preserve">需要进入协议与回放的事件</t>
  </si>
  <si>
    <t xml:space="preserve">护栏与评测</t>
  </si>
  <si>
    <t xml:space="preserve">参数护栏、断言测试、指标</t>
  </si>
  <si>
    <t xml:space="preserve">落地顺序</t>
  </si>
  <si>
    <t xml:space="preserve">六个阶段与进度汇总</t>
  </si>
  <si>
    <t xml:space="preserve">五类通道，一个抽象</t>
  </si>
  <si>
    <t xml:space="preserve">每个通道都由同一组参数定义：接收范围、延迟、保真度、容量、权限。黄色单元格为待填写的参数（当前为「待定」）。</t>
  </si>
  <si>
    <t xml:space="preserve">谁能接收</t>
  </si>
  <si>
    <t xml:space="preserve">延迟</t>
  </si>
  <si>
    <t xml:space="preserve">保真度</t>
  </si>
  <si>
    <t xml:space="preserve">例子</t>
  </si>
  <si>
    <t xml:space="preserve">容量</t>
  </si>
  <si>
    <t xml:space="preserve">权限</t>
  </si>
  <si>
    <t xml:space="preserve">直接感知</t>
  </si>
  <si>
    <t xml:space="preserve">感知范围内的在场者</t>
  </si>
  <si>
    <t xml:space="preserve">即时</t>
  </si>
  <si>
    <t xml:space="preserve">高</t>
  </si>
  <si>
    <t xml:space="preserve">看到、听到；建筑作为传感器记录内部发生的事</t>
  </si>
  <si>
    <t xml:space="preserve">待定</t>
  </si>
  <si>
    <t xml:space="preserve">交谈</t>
  </si>
  <si>
    <t xml:space="preserve">一对一或小群</t>
  </si>
  <si>
    <t xml:space="preserve">相遇时</t>
  </si>
  <si>
    <t xml:space="preserve">逐跳衰减</t>
  </si>
  <si>
    <t xml:space="preserve">闲聊、汇报、争吵</t>
  </si>
  <si>
    <t xml:space="preserve">广播</t>
  </si>
  <si>
    <t xml:space="preserve">在场或经过的所有人</t>
  </si>
  <si>
    <t xml:space="preserve">取决于载体</t>
  </si>
  <si>
    <t xml:space="preserve">高，有权威</t>
  </si>
  <si>
    <t xml:space="preserve">公告栏、钟声、传令、日报</t>
  </si>
  <si>
    <t xml:space="preserve">书面</t>
  </si>
  <si>
    <t xml:space="preserve">会去读的人</t>
  </si>
  <si>
    <t xml:space="preserve">慢</t>
  </si>
  <si>
    <t xml:space="preserve">最高，持久</t>
  </si>
  <si>
    <t xml:space="preserve">信件、日记、账本、档案</t>
  </si>
  <si>
    <t xml:space="preserve">痕迹</t>
  </si>
  <si>
    <t xml:space="preserve">路过并注意到的人</t>
  </si>
  <si>
    <t xml:space="preserve">随机</t>
  </si>
  <si>
    <t xml:space="preserve">低，需要推断</t>
  </si>
  <si>
    <t xml:space="preserve">焦痕、脚印、涂鸦</t>
  </si>
  <si>
    <t xml:space="preserve">关系图决定谁告诉谁</t>
  </si>
  <si>
    <t xml:space="preserve">类别</t>
  </si>
  <si>
    <t xml:space="preserve">项目</t>
  </si>
  <si>
    <t xml:space="preserve">关系图的边</t>
  </si>
  <si>
    <t xml:space="preserve">类型</t>
  </si>
  <si>
    <t xml:space="preserve">亲属、朋友、同事、上下级、陌生</t>
  </si>
  <si>
    <r>
      <rPr>
        <sz val="10"/>
        <rFont val="Noto Sans CJK SC"/>
        <family val="2"/>
      </rPr>
      <t xml:space="preserve">强度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信任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最近接触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共同记忆</t>
    </r>
  </si>
  <si>
    <t xml:space="preserve">边的其余属性</t>
  </si>
  <si>
    <t xml:space="preserve">说不说</t>
  </si>
  <si>
    <t xml:space="preserve">影响因素</t>
  </si>
  <si>
    <r>
      <rPr>
        <sz val="10"/>
        <rFont val="Noto Sans CJK SC"/>
        <family val="2"/>
      </rPr>
      <t xml:space="preserve">话题显著度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对听者的相关性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说话者性格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关系强度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是否是秘密</t>
    </r>
  </si>
  <si>
    <t xml:space="preserve">说什么</t>
  </si>
  <si>
    <t xml:space="preserve">传出的内容</t>
  </si>
  <si>
    <t xml:space="preserve">降级版本：丢细节、放大情绪，每跳降一级，并带上来源链</t>
  </si>
  <si>
    <t xml:space="preserve">听者信不信</t>
  </si>
  <si>
    <t xml:space="preserve">可信度</t>
  </si>
  <si>
    <r>
      <rPr>
        <sz val="10"/>
        <rFont val="Noto Sans CJK SC"/>
        <family val="2"/>
      </rPr>
      <t xml:space="preserve">对来源的信任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与已有信念的吻合度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多源印证</t>
    </r>
  </si>
  <si>
    <t xml:space="preserve">听者的反应</t>
  </si>
  <si>
    <t xml:space="preserve">可以采信、存疑、去核实，或拒绝</t>
  </si>
  <si>
    <t xml:space="preserve">信誉</t>
  </si>
  <si>
    <t xml:space="preserve">信息源可靠度</t>
  </si>
  <si>
    <t xml:space="preserve">单位作为信息源有可靠度记录，说错过的人以后会被打折扣</t>
  </si>
  <si>
    <t xml:space="preserve">建筑节点</t>
  </si>
  <si>
    <t xml:space="preserve">酒馆</t>
  </si>
  <si>
    <t xml:space="preserve">闲话枢纽</t>
  </si>
  <si>
    <t xml:space="preserve">公告栏</t>
  </si>
  <si>
    <t xml:space="preserve">广播点</t>
  </si>
  <si>
    <t xml:space="preserve">邮局</t>
  </si>
  <si>
    <t xml:space="preserve">负责路由</t>
  </si>
  <si>
    <t xml:space="preserve">档案室</t>
  </si>
  <si>
    <t xml:space="preserve">保真度高但传播弱</t>
  </si>
  <si>
    <t xml:space="preserve">原则</t>
  </si>
  <si>
    <t xml:space="preserve">建筑的功能决定它在信息网络里的角色</t>
  </si>
  <si>
    <t xml:space="preserve">传言的生命周期</t>
  </si>
  <si>
    <t xml:space="preserve">序号</t>
  </si>
  <si>
    <t xml:space="preserve">阶段</t>
  </si>
  <si>
    <t xml:space="preserve">约束</t>
  </si>
  <si>
    <t xml:space="preserve">诞生</t>
  </si>
  <si>
    <t xml:space="preserve">有人目击显著事件</t>
  </si>
  <si>
    <t xml:space="preserve">扩散</t>
  </si>
  <si>
    <t xml:space="preserve">沿通道和关系传播</t>
  </si>
  <si>
    <t xml:space="preserve">受扇出上限和冷却限制</t>
  </si>
  <si>
    <t xml:space="preserve">变形</t>
  </si>
  <si>
    <t xml:space="preserve">传播过程中内容发生变化</t>
  </si>
  <si>
    <t xml:space="preserve">只能按规则发生：丢细节、放大情绪、来源换手，并全部记录。模型只负责把结构化断言说成话，不能改断言本身，这样才不会编造</t>
  </si>
  <si>
    <t xml:space="preserve">核实或辟谣</t>
  </si>
  <si>
    <t xml:space="preserve">单位去核实，或传言被辟谣</t>
  </si>
  <si>
    <r>
      <rPr>
        <sz val="10"/>
        <rFont val="Noto Sans CJK SC"/>
        <family val="2"/>
      </rPr>
      <t xml:space="preserve">对应事件 </t>
    </r>
    <r>
      <rPr>
        <sz val="10"/>
        <rFont val="Arial"/>
        <family val="0"/>
        <charset val="1"/>
      </rPr>
      <t xml:space="preserve">RumorDebunked</t>
    </r>
  </si>
  <si>
    <t xml:space="preserve">淡去或固化</t>
  </si>
  <si>
    <t xml:space="preserve">淡去，或固化成传说</t>
  </si>
  <si>
    <t xml:space="preserve">官方：建筑落成、任务完成或受阻、天气和魔法；民间：传言</t>
  </si>
  <si>
    <t xml:space="preserve">传播方式</t>
  </si>
  <si>
    <t xml:space="preserve">官方公告也走通道，有发布者、范围和延迟。没看到公告的单位就不知道，因此世界不会全知全能</t>
  </si>
  <si>
    <t xml:space="preserve">日报</t>
  </si>
  <si>
    <t xml:space="preserve">日终自动生成日报贴到公告栏，带出处，和以天为单位的整理对齐</t>
  </si>
  <si>
    <r>
      <rPr>
        <b val="true"/>
        <sz val="10"/>
        <rFont val="Arial"/>
        <family val="0"/>
        <charset val="1"/>
      </rPr>
      <t xml:space="preserve">agent </t>
    </r>
    <r>
      <rPr>
        <b val="true"/>
        <sz val="10"/>
        <rFont val="Noto Sans CJK SC"/>
        <family val="2"/>
      </rPr>
      <t xml:space="preserve">事件入口</t>
    </r>
  </si>
  <si>
    <t xml:space="preserve">任务状态变化不直接改单位的认知，而是变成公告或被目击，再经通道扩散</t>
  </si>
  <si>
    <t xml:space="preserve">对架构的影响</t>
  </si>
  <si>
    <r>
      <rPr>
        <i val="true"/>
        <sz val="9"/>
        <color rgb="FF595959"/>
        <rFont val="Noto Sans CJK SC"/>
        <family val="2"/>
      </rPr>
      <t xml:space="preserve">状态列可通过下拉选择：未开始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进行中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完成。</t>
    </r>
  </si>
  <si>
    <t xml:space="preserve">主题</t>
  </si>
  <si>
    <t xml:space="preserve">内容</t>
  </si>
  <si>
    <t xml:space="preserve">状态</t>
  </si>
  <si>
    <t xml:space="preserve">信息总线</t>
  </si>
  <si>
    <r>
      <rPr>
        <sz val="10"/>
        <rFont val="Noto Sans CJK SC"/>
        <family val="2"/>
      </rPr>
      <t xml:space="preserve">所有信息以 </t>
    </r>
    <r>
      <rPr>
        <sz val="10"/>
        <rFont val="Arial"/>
        <family val="0"/>
        <charset val="1"/>
      </rPr>
      <t xml:space="preserve">Claim </t>
    </r>
    <r>
      <rPr>
        <sz val="10"/>
        <rFont val="Noto Sans CJK SC"/>
        <family val="2"/>
      </rPr>
      <t xml:space="preserve">事件在通道里流动，传言、公告、关系沟通是同一抽象的不同实现</t>
    </r>
  </si>
  <si>
    <t xml:space="preserve">未开始</t>
  </si>
  <si>
    <t xml:space="preserve">信念库与世界状态分离</t>
  </si>
  <si>
    <r>
      <rPr>
        <sz val="10"/>
        <rFont val="Noto Sans CJK SC"/>
        <family val="2"/>
      </rPr>
      <t xml:space="preserve">感知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是唯一入口</t>
    </r>
  </si>
  <si>
    <r>
      <rPr>
        <sz val="10"/>
        <rFont val="Noto Sans CJK SC"/>
        <family val="2"/>
      </rPr>
      <t xml:space="preserve">细节层级（</t>
    </r>
    <r>
      <rPr>
        <sz val="10"/>
        <rFont val="Arial"/>
        <family val="0"/>
        <charset val="1"/>
      </rPr>
      <t xml:space="preserve">LOD</t>
    </r>
    <r>
      <rPr>
        <sz val="10"/>
        <rFont val="Noto Sans CJK SC"/>
        <family val="2"/>
      </rPr>
      <t xml:space="preserve">）模拟</t>
    </r>
  </si>
  <si>
    <t xml:space="preserve">屏幕外的传播用图扩散近似，在日终批量计算；屏幕内的才展开成具体对话。传播的随机性用种子（天、单位对、断言）派生，保证展开结果和批量结果一致、可回放</t>
  </si>
  <si>
    <t xml:space="preserve">新增的事件进入协议与回放（见「新增事件类型」工作表）</t>
  </si>
  <si>
    <t xml:space="preserve">溯源</t>
  </si>
  <si>
    <r>
      <rPr>
        <sz val="10"/>
        <rFont val="Noto Sans CJK SC"/>
        <family val="2"/>
      </rPr>
      <t xml:space="preserve">每条断言都要能追到真实事件。如果允许角色撒谎，就记录成结构化改写（</t>
    </r>
    <r>
      <rPr>
        <sz val="10"/>
        <rFont val="Arial"/>
        <family val="0"/>
        <charset val="1"/>
      </rPr>
      <t xml:space="preserve">distorted_by</t>
    </r>
    <r>
      <rPr>
        <sz val="10"/>
        <rFont val="Noto Sans CJK SC"/>
        <family val="2"/>
      </rPr>
      <t xml:space="preserve">），仍可追溯</t>
    </r>
  </si>
  <si>
    <t xml:space="preserve">删除要级联</t>
  </si>
  <si>
    <r>
      <rPr>
        <sz val="10"/>
        <rFont val="Noto Sans CJK SC"/>
        <family val="2"/>
      </rPr>
      <t xml:space="preserve">用户删除一条记忆时，断言、各单位的信念副本、变形版本，都要通过 </t>
    </r>
    <r>
      <rPr>
        <sz val="10"/>
        <rFont val="Arial"/>
        <family val="0"/>
        <charset val="1"/>
      </rPr>
      <t xml:space="preserve">derived_from </t>
    </r>
    <r>
      <rPr>
        <sz val="10"/>
        <rFont val="Noto Sans CJK SC"/>
        <family val="2"/>
      </rPr>
      <t xml:space="preserve">链一起清除</t>
    </r>
  </si>
  <si>
    <t xml:space="preserve">隐私分级</t>
  </si>
  <si>
    <t xml:space="preserve">事件带可见性标签（仅玩家、世界可见、脱敏后可见），传言系统不能越级</t>
  </si>
  <si>
    <t xml:space="preserve">对话生成预算</t>
  </si>
  <si>
    <t xml:space="preserve">只有屏幕内的关键对话才调模型，其余用模板，并按（断言、性格、关系）缓存</t>
  </si>
  <si>
    <t xml:space="preserve">玩家入口</t>
  </si>
  <si>
    <t xml:space="preserve">发公告、放出或压下传言、送信，以及「传言地图」（谁知道、从谁来、可信度）。传言地图同时也是可观测性界面</t>
  </si>
  <si>
    <t xml:space="preserve">含义列为根据事件名补充的简要说明，具体字段待协议规格确定。</t>
  </si>
  <si>
    <t xml:space="preserve">事件</t>
  </si>
  <si>
    <t xml:space="preserve">含义</t>
  </si>
  <si>
    <t xml:space="preserve">ClaimCreated</t>
  </si>
  <si>
    <t xml:space="preserve">断言产生</t>
  </si>
  <si>
    <t xml:space="preserve">ClaimTold</t>
  </si>
  <si>
    <t xml:space="preserve">断言在两个单位之间被传递</t>
  </si>
  <si>
    <t xml:space="preserve">BeliefUpdated</t>
  </si>
  <si>
    <t xml:space="preserve">某个单位的信念发生变化</t>
  </si>
  <si>
    <t xml:space="preserve">AnnouncementPosted</t>
  </si>
  <si>
    <t xml:space="preserve">公告发布</t>
  </si>
  <si>
    <t xml:space="preserve">AnnouncementRead</t>
  </si>
  <si>
    <t xml:space="preserve">公告被读取</t>
  </si>
  <si>
    <t xml:space="preserve">RumorDebunked</t>
  </si>
  <si>
    <t xml:space="preserve">传言被辟谣</t>
  </si>
  <si>
    <t xml:space="preserve">参数护栏与评测</t>
  </si>
  <si>
    <t xml:space="preserve">黄色单元格为待填写的取值或结果（当前为占位文字）；「说明」列中的简述为按名称补充。</t>
  </si>
  <si>
    <r>
      <rPr>
        <b val="true"/>
        <sz val="10"/>
        <color rgb="FFFFFFFF"/>
        <rFont val="Noto Sans CJK SC"/>
        <family val="2"/>
      </rPr>
      <t xml:space="preserve">取值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目标</t>
    </r>
  </si>
  <si>
    <t xml:space="preserve">参数护栏</t>
  </si>
  <si>
    <t xml:space="preserve">扇出上限</t>
  </si>
  <si>
    <t xml:space="preserve">限制一条断言的传播范围</t>
  </si>
  <si>
    <t xml:space="preserve">每次交谈的话题数</t>
  </si>
  <si>
    <t xml:space="preserve">限制单次交谈传递的断言数量</t>
  </si>
  <si>
    <t xml:space="preserve">冷却</t>
  </si>
  <si>
    <t xml:space="preserve">同一对单位之间传播的间隔</t>
  </si>
  <si>
    <t xml:space="preserve">最大跳数</t>
  </si>
  <si>
    <t xml:space="preserve">断言可传递的最大层数</t>
  </si>
  <si>
    <t xml:space="preserve">每跳保真衰减</t>
  </si>
  <si>
    <t xml:space="preserve">每传一跳降低的细节层级</t>
  </si>
  <si>
    <t xml:space="preserve">风险提示</t>
  </si>
  <si>
    <t xml:space="preserve">信息同质化</t>
  </si>
  <si>
    <t xml:space="preserve">要警惕「全员一天内全知」，宁可慢一点、不均匀一点</t>
  </si>
  <si>
    <t xml:space="preserve">断言测试</t>
  </si>
  <si>
    <t xml:space="preserve">孤立的单位</t>
  </si>
  <si>
    <t xml:space="preserve">孤立的单位永远不会知道某件事</t>
  </si>
  <si>
    <r>
      <rPr>
        <sz val="10"/>
        <rFont val="Noto Sans CJK SC"/>
        <family val="2"/>
      </rPr>
      <t xml:space="preserve">通过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未通过</t>
    </r>
  </si>
  <si>
    <t xml:space="preserve">关系阈值</t>
  </si>
  <si>
    <t xml:space="preserve">关系低于阈值不会主动告知</t>
  </si>
  <si>
    <t xml:space="preserve">删除级联</t>
  </si>
  <si>
    <t xml:space="preserve">删除能级联清除</t>
  </si>
  <si>
    <t xml:space="preserve">指标</t>
  </si>
  <si>
    <t xml:space="preserve">覆盖率曲线</t>
  </si>
  <si>
    <t xml:space="preserve">覆盖率随时间的变化</t>
  </si>
  <si>
    <t xml:space="preserve">保真度衰减</t>
  </si>
  <si>
    <t xml:space="preserve">保真度随跳数的衰减</t>
  </si>
  <si>
    <t xml:space="preserve">获知时延对比</t>
  </si>
  <si>
    <t xml:space="preserve">公告与传言的获知时延对比</t>
  </si>
  <si>
    <t xml:space="preserve">溯源率</t>
  </si>
  <si>
    <t xml:space="preserve">每条断言能追到真实事件的比例</t>
  </si>
  <si>
    <t xml:space="preserve">每日传播开销</t>
  </si>
  <si>
    <t xml:space="preserve">每天传播所消耗的计算与调用成本</t>
  </si>
  <si>
    <r>
      <rPr>
        <i val="true"/>
        <sz val="9"/>
        <color rgb="FF595959"/>
        <rFont val="Noto Sans CJK SC"/>
        <family val="2"/>
      </rPr>
      <t xml:space="preserve">状态列可通过下拉选择：未开始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进行中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完成。进度汇总由公式自动计算。</t>
    </r>
  </si>
  <si>
    <r>
      <rPr>
        <sz val="10"/>
        <rFont val="Arial"/>
        <family val="0"/>
        <charset val="1"/>
      </rPr>
      <t xml:space="preserve">Claim / Belief </t>
    </r>
    <r>
      <rPr>
        <sz val="10"/>
        <rFont val="Noto Sans CJK SC"/>
        <family val="2"/>
      </rPr>
      <t xml:space="preserve">数据模型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感知 </t>
    </r>
    <r>
      <rPr>
        <sz val="10"/>
        <rFont val="Arial"/>
        <family val="0"/>
        <charset val="1"/>
      </rPr>
      <t xml:space="preserve">API</t>
    </r>
  </si>
  <si>
    <t xml:space="preserve">强制单位读不到全局状态</t>
  </si>
  <si>
    <r>
      <rPr>
        <sz val="10"/>
        <rFont val="Noto Sans CJK SC"/>
        <family val="2"/>
      </rPr>
      <t xml:space="preserve">公告通道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日报</t>
    </r>
  </si>
  <si>
    <r>
      <rPr>
        <sz val="10"/>
        <rFont val="Noto Sans CJK SC"/>
        <family val="2"/>
      </rPr>
      <t xml:space="preserve">见效最快，也最容易接上 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事件</t>
    </r>
  </si>
  <si>
    <r>
      <rPr>
        <sz val="10"/>
        <rFont val="Noto Sans CJK SC"/>
        <family val="2"/>
      </rPr>
      <t xml:space="preserve">一对一交谈传播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关系图</t>
    </r>
  </si>
  <si>
    <r>
      <rPr>
        <sz val="10"/>
        <rFont val="Noto Sans CJK SC"/>
        <family val="2"/>
      </rPr>
      <t xml:space="preserve">规则版，后台 </t>
    </r>
    <r>
      <rPr>
        <sz val="10"/>
        <rFont val="Arial"/>
        <family val="0"/>
        <charset val="1"/>
      </rPr>
      <t xml:space="preserve">LOD</t>
    </r>
  </si>
  <si>
    <t xml:space="preserve">传言变形、核实与辟谣、信誉</t>
  </si>
  <si>
    <t xml:space="preserve">建筑枢纽、信件、玩家干预、传言地图</t>
  </si>
  <si>
    <t xml:space="preserve">模型渲染对话</t>
  </si>
  <si>
    <t xml:space="preserve">让屏幕内的交谈可见可听</t>
  </si>
  <si>
    <t xml:space="preserve">进度汇总</t>
  </si>
  <si>
    <t xml:space="preserve">阶段总数</t>
  </si>
  <si>
    <t xml:space="preserve">完成</t>
  </si>
  <si>
    <t xml:space="preserve">进行中</t>
  </si>
  <si>
    <t xml:space="preserve">完成比例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</si>
</sst>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</font>
    <font>
      <i val="true"/>
      <sz val="9"/>
      <color rgb="FF595959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sz val="10"/>
      <name val="Arial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info_propagation_design.xlsx" TargetMode="External"/><Relationship Id="rId2" Type="http://schemas.openxmlformats.org/officeDocument/2006/relationships/hyperlink" Target="info_propagation_design.xlsx" TargetMode="External"/><Relationship Id="rId3" Type="http://schemas.openxmlformats.org/officeDocument/2006/relationships/hyperlink" Target="info_propagation_design.xlsx" TargetMode="External"/><Relationship Id="rId4" Type="http://schemas.openxmlformats.org/officeDocument/2006/relationships/hyperlink" Target="info_propagation_design.xlsx" TargetMode="External"/><Relationship Id="rId5" Type="http://schemas.openxmlformats.org/officeDocument/2006/relationships/hyperlink" Target="info_propagation_design.xlsx" TargetMode="External"/><Relationship Id="rId6" Type="http://schemas.openxmlformats.org/officeDocument/2006/relationships/hyperlink" Target="info_propagation_design.xlsx" TargetMode="External"/><Relationship Id="rId7" Type="http://schemas.openxmlformats.org/officeDocument/2006/relationships/hyperlink" Target="info_propagation_design.xlsx" TargetMode="External"/><Relationship Id="rId8" Type="http://schemas.openxmlformats.org/officeDocument/2006/relationships/hyperlink" Target="info_propagation_desig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</row>
    <row r="5" customFormat="false" ht="33.75" hidden="false" customHeight="true" outlineLevel="0" collapsed="false">
      <c r="A5" s="4" t="s">
        <v>4</v>
      </c>
      <c r="B5" s="5" t="s">
        <v>5</v>
      </c>
    </row>
    <row r="6" customFormat="false" ht="19.5" hidden="false" customHeight="true" outlineLevel="0" collapsed="false">
      <c r="A6" s="4" t="s">
        <v>6</v>
      </c>
      <c r="B6" s="5" t="s">
        <v>7</v>
      </c>
    </row>
    <row r="7" customFormat="false" ht="19.5" hidden="false" customHeight="true" outlineLevel="0" collapsed="false">
      <c r="A7" s="4" t="s">
        <v>8</v>
      </c>
      <c r="B7" s="5" t="s">
        <v>9</v>
      </c>
    </row>
    <row r="8" customFormat="false" ht="19.5" hidden="false" customHeight="true" outlineLevel="0" collapsed="false">
      <c r="A8" s="4" t="s">
        <v>10</v>
      </c>
      <c r="B8" s="5" t="s">
        <v>11</v>
      </c>
    </row>
    <row r="9" customFormat="false" ht="19.5" hidden="false" customHeight="true" outlineLevel="0" collapsed="false">
      <c r="A9" s="4" t="s">
        <v>12</v>
      </c>
      <c r="B9" s="5" t="s">
        <v>13</v>
      </c>
    </row>
    <row r="10" customFormat="false" ht="19.5" hidden="false" customHeight="true" outlineLevel="0" collapsed="false">
      <c r="A10" s="4" t="s">
        <v>14</v>
      </c>
      <c r="B10" s="5" t="s">
        <v>15</v>
      </c>
    </row>
    <row r="12" customFormat="false" ht="15" hidden="false" customHeight="false" outlineLevel="0" collapsed="false">
      <c r="A12" s="6" t="s">
        <v>16</v>
      </c>
    </row>
    <row r="13" customFormat="false" ht="15" hidden="false" customHeight="false" outlineLevel="0" collapsed="false">
      <c r="A13" s="7" t="s">
        <v>17</v>
      </c>
      <c r="B13" s="8" t="s">
        <v>18</v>
      </c>
    </row>
    <row r="14" customFormat="false" ht="15" hidden="false" customHeight="false" outlineLevel="0" collapsed="false">
      <c r="A14" s="7" t="s">
        <v>19</v>
      </c>
      <c r="B14" s="8" t="s">
        <v>20</v>
      </c>
    </row>
    <row r="15" customFormat="false" ht="15" hidden="false" customHeight="false" outlineLevel="0" collapsed="false">
      <c r="A15" s="7" t="s">
        <v>21</v>
      </c>
      <c r="B15" s="8" t="s">
        <v>22</v>
      </c>
    </row>
    <row r="16" customFormat="false" ht="15" hidden="false" customHeight="false" outlineLevel="0" collapsed="false">
      <c r="A16" s="7" t="s">
        <v>23</v>
      </c>
      <c r="B16" s="8" t="s">
        <v>24</v>
      </c>
    </row>
    <row r="17" customFormat="false" ht="15" hidden="false" customHeight="false" outlineLevel="0" collapsed="false">
      <c r="A17" s="7" t="s">
        <v>25</v>
      </c>
      <c r="B17" s="8" t="s">
        <v>26</v>
      </c>
    </row>
    <row r="18" customFormat="false" ht="15" hidden="false" customHeight="false" outlineLevel="0" collapsed="false">
      <c r="A18" s="7" t="s">
        <v>27</v>
      </c>
      <c r="B18" s="8" t="s">
        <v>28</v>
      </c>
    </row>
    <row r="19" customFormat="false" ht="15" hidden="false" customHeight="false" outlineLevel="0" collapsed="false">
      <c r="A19" s="7" t="s">
        <v>29</v>
      </c>
      <c r="B19" s="8" t="s">
        <v>30</v>
      </c>
    </row>
    <row r="20" customFormat="false" ht="15" hidden="false" customHeight="false" outlineLevel="0" collapsed="false">
      <c r="A20" s="7" t="s">
        <v>31</v>
      </c>
      <c r="B20" s="8" t="s">
        <v>32</v>
      </c>
    </row>
  </sheetData>
  <hyperlinks>
    <hyperlink ref="A13" r:id="rId1" location="'通道'!A1" display="通道"/>
    <hyperlink ref="A14" r:id="rId2" location="'关系与传播'!A1" display="关系与传播"/>
    <hyperlink ref="A15" r:id="rId3" location="'传言生命周期'!A1" display="传言生命周期"/>
    <hyperlink ref="A16" r:id="rId4" location="'世界公告'!A1" display="世界公告"/>
    <hyperlink ref="A17" r:id="rId5" location="'架构影响'!A1" display="架构影响"/>
    <hyperlink ref="A18" r:id="rId6" location="'新增事件类型'!A1" display="新增事件类型"/>
    <hyperlink ref="A19" r:id="rId7" location="'护栏与评测'!A1" display="护栏与评测"/>
    <hyperlink ref="A20" r:id="rId8" location="'落地顺序'!A1" display="落地顺序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21.75" hidden="false" customHeight="true" outlineLevel="0" collapsed="false">
      <c r="A4" s="3" t="s">
        <v>17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</row>
    <row r="5" customFormat="false" ht="33.75" hidden="false" customHeight="true" outlineLevel="0" collapsed="false">
      <c r="A5" s="4" t="s">
        <v>41</v>
      </c>
      <c r="B5" s="5" t="s">
        <v>42</v>
      </c>
      <c r="C5" s="5" t="s">
        <v>43</v>
      </c>
      <c r="D5" s="5" t="s">
        <v>44</v>
      </c>
      <c r="E5" s="5" t="s">
        <v>45</v>
      </c>
      <c r="F5" s="9" t="s">
        <v>46</v>
      </c>
      <c r="G5" s="9" t="s">
        <v>46</v>
      </c>
    </row>
    <row r="6" customFormat="false" ht="19.5" hidden="false" customHeight="true" outlineLevel="0" collapsed="false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9" t="s">
        <v>46</v>
      </c>
      <c r="G6" s="9" t="s">
        <v>46</v>
      </c>
    </row>
    <row r="7" customFormat="false" ht="19.5" hidden="false" customHeight="true" outlineLevel="0" collapsed="false">
      <c r="A7" s="4" t="s">
        <v>52</v>
      </c>
      <c r="B7" s="5" t="s">
        <v>53</v>
      </c>
      <c r="C7" s="5" t="s">
        <v>54</v>
      </c>
      <c r="D7" s="5" t="s">
        <v>55</v>
      </c>
      <c r="E7" s="5" t="s">
        <v>56</v>
      </c>
      <c r="F7" s="9" t="s">
        <v>46</v>
      </c>
      <c r="G7" s="9" t="s">
        <v>46</v>
      </c>
    </row>
    <row r="8" customFormat="false" ht="19.5" hidden="false" customHeight="true" outlineLevel="0" collapsed="false">
      <c r="A8" s="4" t="s">
        <v>57</v>
      </c>
      <c r="B8" s="5" t="s">
        <v>58</v>
      </c>
      <c r="C8" s="5" t="s">
        <v>59</v>
      </c>
      <c r="D8" s="5" t="s">
        <v>60</v>
      </c>
      <c r="E8" s="5" t="s">
        <v>61</v>
      </c>
      <c r="F8" s="9" t="s">
        <v>46</v>
      </c>
      <c r="G8" s="9" t="s">
        <v>46</v>
      </c>
    </row>
    <row r="9" customFormat="false" ht="19.5" hidden="false" customHeight="true" outlineLevel="0" collapsed="false">
      <c r="A9" s="4" t="s">
        <v>62</v>
      </c>
      <c r="B9" s="5" t="s">
        <v>63</v>
      </c>
      <c r="C9" s="5" t="s">
        <v>64</v>
      </c>
      <c r="D9" s="5" t="s">
        <v>65</v>
      </c>
      <c r="E9" s="5" t="s">
        <v>66</v>
      </c>
      <c r="F9" s="9" t="s">
        <v>46</v>
      </c>
      <c r="G9" s="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67</v>
      </c>
    </row>
    <row r="3" customFormat="false" ht="21.75" hidden="false" customHeight="true" outlineLevel="0" collapsed="false">
      <c r="A3" s="3" t="s">
        <v>68</v>
      </c>
      <c r="B3" s="3" t="s">
        <v>69</v>
      </c>
      <c r="C3" s="3" t="s">
        <v>3</v>
      </c>
    </row>
    <row r="4" customFormat="false" ht="19.5" hidden="false" customHeight="true" outlineLevel="0" collapsed="false">
      <c r="A4" s="4" t="s">
        <v>70</v>
      </c>
      <c r="B4" s="5" t="s">
        <v>71</v>
      </c>
      <c r="C4" s="5" t="s">
        <v>72</v>
      </c>
    </row>
    <row r="5" customFormat="false" ht="33.75" hidden="false" customHeight="true" outlineLevel="0" collapsed="false">
      <c r="A5" s="4" t="s">
        <v>70</v>
      </c>
      <c r="B5" s="5" t="s">
        <v>73</v>
      </c>
      <c r="C5" s="5" t="s">
        <v>74</v>
      </c>
    </row>
    <row r="6" customFormat="false" ht="19.5" hidden="false" customHeight="true" outlineLevel="0" collapsed="false">
      <c r="A6" s="4" t="s">
        <v>75</v>
      </c>
      <c r="B6" s="5" t="s">
        <v>76</v>
      </c>
      <c r="C6" s="5" t="s">
        <v>77</v>
      </c>
    </row>
    <row r="7" customFormat="false" ht="19.5" hidden="false" customHeight="true" outlineLevel="0" collapsed="false">
      <c r="A7" s="4" t="s">
        <v>78</v>
      </c>
      <c r="B7" s="5" t="s">
        <v>79</v>
      </c>
      <c r="C7" s="5" t="s">
        <v>80</v>
      </c>
    </row>
    <row r="8" customFormat="false" ht="19.5" hidden="false" customHeight="true" outlineLevel="0" collapsed="false">
      <c r="A8" s="4" t="s">
        <v>81</v>
      </c>
      <c r="B8" s="5" t="s">
        <v>82</v>
      </c>
      <c r="C8" s="5" t="s">
        <v>83</v>
      </c>
    </row>
    <row r="9" customFormat="false" ht="19.5" hidden="false" customHeight="true" outlineLevel="0" collapsed="false">
      <c r="A9" s="4" t="s">
        <v>81</v>
      </c>
      <c r="B9" s="5" t="s">
        <v>84</v>
      </c>
      <c r="C9" s="5" t="s">
        <v>85</v>
      </c>
    </row>
    <row r="10" customFormat="false" ht="19.5" hidden="false" customHeight="true" outlineLevel="0" collapsed="false">
      <c r="A10" s="4" t="s">
        <v>86</v>
      </c>
      <c r="B10" s="5" t="s">
        <v>87</v>
      </c>
      <c r="C10" s="5" t="s">
        <v>88</v>
      </c>
    </row>
    <row r="11" customFormat="false" ht="19.5" hidden="false" customHeight="true" outlineLevel="0" collapsed="false">
      <c r="A11" s="4" t="s">
        <v>89</v>
      </c>
      <c r="B11" s="5" t="s">
        <v>90</v>
      </c>
      <c r="C11" s="5" t="s">
        <v>91</v>
      </c>
    </row>
    <row r="12" customFormat="false" ht="19.5" hidden="false" customHeight="true" outlineLevel="0" collapsed="false">
      <c r="A12" s="4" t="s">
        <v>89</v>
      </c>
      <c r="B12" s="5" t="s">
        <v>92</v>
      </c>
      <c r="C12" s="5" t="s">
        <v>93</v>
      </c>
    </row>
    <row r="13" customFormat="false" ht="19.5" hidden="false" customHeight="true" outlineLevel="0" collapsed="false">
      <c r="A13" s="4" t="s">
        <v>89</v>
      </c>
      <c r="B13" s="5" t="s">
        <v>94</v>
      </c>
      <c r="C13" s="5" t="s">
        <v>95</v>
      </c>
    </row>
    <row r="14" customFormat="false" ht="19.5" hidden="false" customHeight="true" outlineLevel="0" collapsed="false">
      <c r="A14" s="4" t="s">
        <v>89</v>
      </c>
      <c r="B14" s="5" t="s">
        <v>96</v>
      </c>
      <c r="C14" s="5" t="s">
        <v>97</v>
      </c>
    </row>
    <row r="15" customFormat="false" ht="19.5" hidden="false" customHeight="true" outlineLevel="0" collapsed="false">
      <c r="A15" s="4" t="s">
        <v>89</v>
      </c>
      <c r="B15" s="5" t="s">
        <v>98</v>
      </c>
      <c r="C15" s="5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100</v>
      </c>
    </row>
    <row r="3" customFormat="false" ht="21.75" hidden="false" customHeight="true" outlineLevel="0" collapsed="false">
      <c r="A3" s="3" t="s">
        <v>101</v>
      </c>
      <c r="B3" s="3" t="s">
        <v>102</v>
      </c>
      <c r="C3" s="3" t="s">
        <v>3</v>
      </c>
      <c r="D3" s="3" t="s">
        <v>103</v>
      </c>
    </row>
    <row r="4" customFormat="false" ht="19.5" hidden="false" customHeight="true" outlineLevel="0" collapsed="false">
      <c r="A4" s="4" t="n">
        <v>1</v>
      </c>
      <c r="B4" s="5" t="s">
        <v>104</v>
      </c>
      <c r="C4" s="5" t="s">
        <v>105</v>
      </c>
      <c r="D4" s="5"/>
    </row>
    <row r="5" customFormat="false" ht="19.5" hidden="false" customHeight="true" outlineLevel="0" collapsed="false">
      <c r="A5" s="4" t="n">
        <v>2</v>
      </c>
      <c r="B5" s="5" t="s">
        <v>106</v>
      </c>
      <c r="C5" s="5" t="s">
        <v>107</v>
      </c>
      <c r="D5" s="5" t="s">
        <v>108</v>
      </c>
    </row>
    <row r="6" customFormat="false" ht="33.75" hidden="false" customHeight="true" outlineLevel="0" collapsed="false">
      <c r="A6" s="4" t="n">
        <v>3</v>
      </c>
      <c r="B6" s="5" t="s">
        <v>109</v>
      </c>
      <c r="C6" s="5" t="s">
        <v>110</v>
      </c>
      <c r="D6" s="5" t="s">
        <v>111</v>
      </c>
    </row>
    <row r="7" customFormat="false" ht="19.5" hidden="false" customHeight="true" outlineLevel="0" collapsed="false">
      <c r="A7" s="4" t="n">
        <v>4</v>
      </c>
      <c r="B7" s="5" t="s">
        <v>112</v>
      </c>
      <c r="C7" s="5" t="s">
        <v>113</v>
      </c>
      <c r="D7" s="5" t="s">
        <v>114</v>
      </c>
    </row>
    <row r="8" customFormat="false" ht="19.5" hidden="false" customHeight="true" outlineLevel="0" collapsed="false">
      <c r="A8" s="4" t="n">
        <v>5</v>
      </c>
      <c r="B8" s="5" t="s">
        <v>115</v>
      </c>
      <c r="C8" s="5" t="s">
        <v>116</v>
      </c>
      <c r="D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23</v>
      </c>
    </row>
    <row r="3" customFormat="false" ht="21.75" hidden="false" customHeight="true" outlineLevel="0" collapsed="false">
      <c r="A3" s="3" t="s">
        <v>69</v>
      </c>
      <c r="B3" s="3" t="s">
        <v>3</v>
      </c>
    </row>
    <row r="4" customFormat="false" ht="19.5" hidden="false" customHeight="true" outlineLevel="0" collapsed="false">
      <c r="A4" s="4" t="s">
        <v>71</v>
      </c>
      <c r="B4" s="5" t="s">
        <v>117</v>
      </c>
    </row>
    <row r="5" customFormat="false" ht="19.5" hidden="false" customHeight="true" outlineLevel="0" collapsed="false">
      <c r="A5" s="4" t="s">
        <v>118</v>
      </c>
      <c r="B5" s="5" t="s">
        <v>119</v>
      </c>
    </row>
    <row r="6" customFormat="false" ht="19.5" hidden="false" customHeight="true" outlineLevel="0" collapsed="false">
      <c r="A6" s="4" t="s">
        <v>120</v>
      </c>
      <c r="B6" s="5" t="s">
        <v>121</v>
      </c>
    </row>
    <row r="7" customFormat="false" ht="19.5" hidden="false" customHeight="true" outlineLevel="0" collapsed="false">
      <c r="A7" s="10" t="s">
        <v>122</v>
      </c>
      <c r="B7" s="5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21.75" hidden="false" customHeight="true" outlineLevel="0" collapsed="false">
      <c r="A4" s="3" t="s">
        <v>101</v>
      </c>
      <c r="B4" s="3" t="s">
        <v>126</v>
      </c>
      <c r="C4" s="3" t="s">
        <v>127</v>
      </c>
      <c r="D4" s="3" t="s">
        <v>128</v>
      </c>
    </row>
    <row r="5" customFormat="false" ht="19.5" hidden="false" customHeight="true" outlineLevel="0" collapsed="false">
      <c r="A5" s="4" t="n">
        <v>1</v>
      </c>
      <c r="B5" s="5" t="s">
        <v>129</v>
      </c>
      <c r="C5" s="5" t="s">
        <v>130</v>
      </c>
      <c r="D5" s="5" t="s">
        <v>131</v>
      </c>
    </row>
    <row r="6" customFormat="false" ht="19.5" hidden="false" customHeight="true" outlineLevel="0" collapsed="false">
      <c r="A6" s="4" t="n">
        <v>2</v>
      </c>
      <c r="B6" s="5" t="s">
        <v>132</v>
      </c>
      <c r="C6" s="5" t="s">
        <v>133</v>
      </c>
      <c r="D6" s="5" t="s">
        <v>131</v>
      </c>
    </row>
    <row r="7" customFormat="false" ht="33.75" hidden="false" customHeight="true" outlineLevel="0" collapsed="false">
      <c r="A7" s="4" t="n">
        <v>3</v>
      </c>
      <c r="B7" s="5" t="s">
        <v>134</v>
      </c>
      <c r="C7" s="5" t="s">
        <v>135</v>
      </c>
      <c r="D7" s="5" t="s">
        <v>131</v>
      </c>
    </row>
    <row r="8" customFormat="false" ht="19.5" hidden="false" customHeight="true" outlineLevel="0" collapsed="false">
      <c r="A8" s="4" t="n">
        <v>4</v>
      </c>
      <c r="B8" s="5" t="s">
        <v>27</v>
      </c>
      <c r="C8" s="5" t="s">
        <v>136</v>
      </c>
      <c r="D8" s="5" t="s">
        <v>131</v>
      </c>
    </row>
    <row r="9" customFormat="false" ht="33.75" hidden="false" customHeight="true" outlineLevel="0" collapsed="false">
      <c r="A9" s="4" t="n">
        <v>5</v>
      </c>
      <c r="B9" s="5" t="s">
        <v>137</v>
      </c>
      <c r="C9" s="5" t="s">
        <v>138</v>
      </c>
      <c r="D9" s="5" t="s">
        <v>131</v>
      </c>
    </row>
    <row r="10" customFormat="false" ht="19.5" hidden="false" customHeight="true" outlineLevel="0" collapsed="false">
      <c r="A10" s="4" t="n">
        <v>6</v>
      </c>
      <c r="B10" s="5" t="s">
        <v>139</v>
      </c>
      <c r="C10" s="5" t="s">
        <v>140</v>
      </c>
      <c r="D10" s="5" t="s">
        <v>131</v>
      </c>
    </row>
    <row r="11" customFormat="false" ht="19.5" hidden="false" customHeight="true" outlineLevel="0" collapsed="false">
      <c r="A11" s="4" t="n">
        <v>7</v>
      </c>
      <c r="B11" s="5" t="s">
        <v>141</v>
      </c>
      <c r="C11" s="5" t="s">
        <v>142</v>
      </c>
      <c r="D11" s="5" t="s">
        <v>131</v>
      </c>
    </row>
    <row r="12" customFormat="false" ht="19.5" hidden="false" customHeight="true" outlineLevel="0" collapsed="false">
      <c r="A12" s="4" t="n">
        <v>8</v>
      </c>
      <c r="B12" s="5" t="s">
        <v>143</v>
      </c>
      <c r="C12" s="5" t="s">
        <v>144</v>
      </c>
      <c r="D12" s="5" t="s">
        <v>131</v>
      </c>
    </row>
    <row r="13" customFormat="false" ht="33.75" hidden="false" customHeight="true" outlineLevel="0" collapsed="false">
      <c r="A13" s="4" t="n">
        <v>9</v>
      </c>
      <c r="B13" s="5" t="s">
        <v>145</v>
      </c>
      <c r="C13" s="5" t="s">
        <v>146</v>
      </c>
      <c r="D13" s="5" t="s">
        <v>131</v>
      </c>
    </row>
  </sheetData>
  <dataValidations count="1">
    <dataValidation allowBlank="false" errorStyle="stop" operator="between" showDropDown="false" showErrorMessage="false" showInputMessage="false" sqref="D5:D13" type="list">
      <formula1>"未开始,进行中,完成"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147</v>
      </c>
    </row>
    <row r="4" customFormat="false" ht="21.75" hidden="false" customHeight="true" outlineLevel="0" collapsed="false">
      <c r="A4" s="3" t="s">
        <v>148</v>
      </c>
      <c r="B4" s="3" t="s">
        <v>149</v>
      </c>
    </row>
    <row r="5" customFormat="false" ht="19.5" hidden="false" customHeight="true" outlineLevel="0" collapsed="false">
      <c r="A5" s="10" t="s">
        <v>150</v>
      </c>
      <c r="B5" s="5" t="s">
        <v>151</v>
      </c>
    </row>
    <row r="6" customFormat="false" ht="19.5" hidden="false" customHeight="true" outlineLevel="0" collapsed="false">
      <c r="A6" s="10" t="s">
        <v>152</v>
      </c>
      <c r="B6" s="5" t="s">
        <v>153</v>
      </c>
    </row>
    <row r="7" customFormat="false" ht="19.5" hidden="false" customHeight="true" outlineLevel="0" collapsed="false">
      <c r="A7" s="10" t="s">
        <v>154</v>
      </c>
      <c r="B7" s="5" t="s">
        <v>155</v>
      </c>
    </row>
    <row r="8" customFormat="false" ht="19.5" hidden="false" customHeight="true" outlineLevel="0" collapsed="false">
      <c r="A8" s="10" t="s">
        <v>156</v>
      </c>
      <c r="B8" s="5" t="s">
        <v>157</v>
      </c>
    </row>
    <row r="9" customFormat="false" ht="19.5" hidden="false" customHeight="true" outlineLevel="0" collapsed="false">
      <c r="A9" s="10" t="s">
        <v>158</v>
      </c>
      <c r="B9" s="5" t="s">
        <v>159</v>
      </c>
    </row>
    <row r="10" customFormat="false" ht="19.5" hidden="false" customHeight="true" outlineLevel="0" collapsed="false">
      <c r="A10" s="10" t="s">
        <v>160</v>
      </c>
      <c r="B10" s="5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21.75" hidden="false" customHeight="true" outlineLevel="0" collapsed="false">
      <c r="A4" s="3" t="s">
        <v>68</v>
      </c>
      <c r="B4" s="3" t="s">
        <v>69</v>
      </c>
      <c r="C4" s="3" t="s">
        <v>3</v>
      </c>
      <c r="D4" s="3" t="s">
        <v>164</v>
      </c>
    </row>
    <row r="5" customFormat="false" ht="19.5" hidden="false" customHeight="true" outlineLevel="0" collapsed="false">
      <c r="A5" s="4" t="s">
        <v>165</v>
      </c>
      <c r="B5" s="5" t="s">
        <v>166</v>
      </c>
      <c r="C5" s="5" t="s">
        <v>167</v>
      </c>
      <c r="D5" s="9" t="s">
        <v>46</v>
      </c>
    </row>
    <row r="6" customFormat="false" ht="19.5" hidden="false" customHeight="true" outlineLevel="0" collapsed="false">
      <c r="A6" s="4" t="s">
        <v>165</v>
      </c>
      <c r="B6" s="5" t="s">
        <v>168</v>
      </c>
      <c r="C6" s="5" t="s">
        <v>169</v>
      </c>
      <c r="D6" s="9" t="s">
        <v>46</v>
      </c>
    </row>
    <row r="7" customFormat="false" ht="19.5" hidden="false" customHeight="true" outlineLevel="0" collapsed="false">
      <c r="A7" s="4" t="s">
        <v>165</v>
      </c>
      <c r="B7" s="5" t="s">
        <v>170</v>
      </c>
      <c r="C7" s="5" t="s">
        <v>171</v>
      </c>
      <c r="D7" s="9" t="s">
        <v>46</v>
      </c>
    </row>
    <row r="8" customFormat="false" ht="19.5" hidden="false" customHeight="true" outlineLevel="0" collapsed="false">
      <c r="A8" s="4" t="s">
        <v>165</v>
      </c>
      <c r="B8" s="5" t="s">
        <v>172</v>
      </c>
      <c r="C8" s="5" t="s">
        <v>173</v>
      </c>
      <c r="D8" s="9" t="s">
        <v>46</v>
      </c>
    </row>
    <row r="9" customFormat="false" ht="19.5" hidden="false" customHeight="true" outlineLevel="0" collapsed="false">
      <c r="A9" s="4" t="s">
        <v>165</v>
      </c>
      <c r="B9" s="5" t="s">
        <v>174</v>
      </c>
      <c r="C9" s="5" t="s">
        <v>175</v>
      </c>
      <c r="D9" s="9" t="s">
        <v>46</v>
      </c>
    </row>
    <row r="10" customFormat="false" ht="19.5" hidden="false" customHeight="true" outlineLevel="0" collapsed="false">
      <c r="A10" s="4" t="s">
        <v>176</v>
      </c>
      <c r="B10" s="5" t="s">
        <v>177</v>
      </c>
      <c r="C10" s="5" t="s">
        <v>178</v>
      </c>
      <c r="D10" s="9"/>
    </row>
    <row r="11" customFormat="false" ht="19.5" hidden="false" customHeight="true" outlineLevel="0" collapsed="false">
      <c r="A11" s="4" t="s">
        <v>179</v>
      </c>
      <c r="B11" s="5" t="s">
        <v>180</v>
      </c>
      <c r="C11" s="5" t="s">
        <v>181</v>
      </c>
      <c r="D11" s="9" t="s">
        <v>182</v>
      </c>
    </row>
    <row r="12" customFormat="false" ht="19.5" hidden="false" customHeight="true" outlineLevel="0" collapsed="false">
      <c r="A12" s="4" t="s">
        <v>179</v>
      </c>
      <c r="B12" s="5" t="s">
        <v>183</v>
      </c>
      <c r="C12" s="5" t="s">
        <v>184</v>
      </c>
      <c r="D12" s="9" t="s">
        <v>182</v>
      </c>
    </row>
    <row r="13" customFormat="false" ht="19.5" hidden="false" customHeight="true" outlineLevel="0" collapsed="false">
      <c r="A13" s="4" t="s">
        <v>179</v>
      </c>
      <c r="B13" s="5" t="s">
        <v>185</v>
      </c>
      <c r="C13" s="5" t="s">
        <v>186</v>
      </c>
      <c r="D13" s="9" t="s">
        <v>182</v>
      </c>
    </row>
    <row r="14" customFormat="false" ht="19.5" hidden="false" customHeight="true" outlineLevel="0" collapsed="false">
      <c r="A14" s="4" t="s">
        <v>187</v>
      </c>
      <c r="B14" s="5" t="s">
        <v>188</v>
      </c>
      <c r="C14" s="5" t="s">
        <v>189</v>
      </c>
      <c r="D14" s="9" t="s">
        <v>46</v>
      </c>
    </row>
    <row r="15" customFormat="false" ht="19.5" hidden="false" customHeight="true" outlineLevel="0" collapsed="false">
      <c r="A15" s="4" t="s">
        <v>187</v>
      </c>
      <c r="B15" s="5" t="s">
        <v>190</v>
      </c>
      <c r="C15" s="5" t="s">
        <v>191</v>
      </c>
      <c r="D15" s="9" t="s">
        <v>46</v>
      </c>
    </row>
    <row r="16" customFormat="false" ht="19.5" hidden="false" customHeight="true" outlineLevel="0" collapsed="false">
      <c r="A16" s="4" t="s">
        <v>187</v>
      </c>
      <c r="B16" s="5" t="s">
        <v>192</v>
      </c>
      <c r="C16" s="5" t="s">
        <v>193</v>
      </c>
      <c r="D16" s="9" t="s">
        <v>46</v>
      </c>
    </row>
    <row r="17" customFormat="false" ht="19.5" hidden="false" customHeight="true" outlineLevel="0" collapsed="false">
      <c r="A17" s="4" t="s">
        <v>187</v>
      </c>
      <c r="B17" s="5" t="s">
        <v>194</v>
      </c>
      <c r="C17" s="5" t="s">
        <v>195</v>
      </c>
      <c r="D17" s="9" t="s">
        <v>46</v>
      </c>
    </row>
    <row r="18" customFormat="false" ht="19.5" hidden="false" customHeight="true" outlineLevel="0" collapsed="false">
      <c r="A18" s="4" t="s">
        <v>187</v>
      </c>
      <c r="B18" s="5" t="s">
        <v>196</v>
      </c>
      <c r="C18" s="5" t="s">
        <v>197</v>
      </c>
      <c r="D18" s="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4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198</v>
      </c>
    </row>
    <row r="4" customFormat="false" ht="21.75" hidden="false" customHeight="true" outlineLevel="0" collapsed="false">
      <c r="A4" s="3" t="s">
        <v>102</v>
      </c>
      <c r="B4" s="3" t="s">
        <v>127</v>
      </c>
      <c r="C4" s="3" t="s">
        <v>3</v>
      </c>
      <c r="D4" s="3" t="s">
        <v>128</v>
      </c>
    </row>
    <row r="5" customFormat="false" ht="19.5" hidden="false" customHeight="true" outlineLevel="0" collapsed="false">
      <c r="A5" s="4" t="n">
        <v>1</v>
      </c>
      <c r="B5" s="11" t="s">
        <v>199</v>
      </c>
      <c r="C5" s="5" t="s">
        <v>200</v>
      </c>
      <c r="D5" s="5" t="s">
        <v>131</v>
      </c>
    </row>
    <row r="6" customFormat="false" ht="19.5" hidden="false" customHeight="true" outlineLevel="0" collapsed="false">
      <c r="A6" s="4" t="n">
        <v>2</v>
      </c>
      <c r="B6" s="5" t="s">
        <v>201</v>
      </c>
      <c r="C6" s="5" t="s">
        <v>202</v>
      </c>
      <c r="D6" s="5" t="s">
        <v>131</v>
      </c>
    </row>
    <row r="7" customFormat="false" ht="19.5" hidden="false" customHeight="true" outlineLevel="0" collapsed="false">
      <c r="A7" s="4" t="n">
        <v>3</v>
      </c>
      <c r="B7" s="5" t="s">
        <v>203</v>
      </c>
      <c r="C7" s="5" t="s">
        <v>204</v>
      </c>
      <c r="D7" s="5" t="s">
        <v>131</v>
      </c>
    </row>
    <row r="8" customFormat="false" ht="19.5" hidden="false" customHeight="true" outlineLevel="0" collapsed="false">
      <c r="A8" s="4" t="n">
        <v>4</v>
      </c>
      <c r="B8" s="5" t="s">
        <v>205</v>
      </c>
      <c r="C8" s="5"/>
      <c r="D8" s="5" t="s">
        <v>131</v>
      </c>
    </row>
    <row r="9" customFormat="false" ht="19.5" hidden="false" customHeight="true" outlineLevel="0" collapsed="false">
      <c r="A9" s="4" t="n">
        <v>5</v>
      </c>
      <c r="B9" s="5" t="s">
        <v>206</v>
      </c>
      <c r="C9" s="5"/>
      <c r="D9" s="5" t="s">
        <v>131</v>
      </c>
    </row>
    <row r="10" customFormat="false" ht="19.5" hidden="false" customHeight="true" outlineLevel="0" collapsed="false">
      <c r="A10" s="4" t="n">
        <v>6</v>
      </c>
      <c r="B10" s="5" t="s">
        <v>207</v>
      </c>
      <c r="C10" s="5" t="s">
        <v>208</v>
      </c>
      <c r="D10" s="5" t="s">
        <v>131</v>
      </c>
    </row>
    <row r="12" customFormat="false" ht="15" hidden="false" customHeight="false" outlineLevel="0" collapsed="false">
      <c r="B12" s="6" t="s">
        <v>209</v>
      </c>
    </row>
    <row r="13" customFormat="false" ht="15" hidden="false" customHeight="false" outlineLevel="0" collapsed="false">
      <c r="B13" s="8" t="s">
        <v>210</v>
      </c>
      <c r="C13" s="12" t="n">
        <f aca="false">COUNTA(A5:A10)</f>
        <v>6</v>
      </c>
    </row>
    <row r="14" customFormat="false" ht="15" hidden="false" customHeight="false" outlineLevel="0" collapsed="false">
      <c r="B14" s="8" t="s">
        <v>211</v>
      </c>
      <c r="C14" s="12" t="n">
        <f aca="false">COUNTIF(D5:D10,"完成")</f>
        <v>0</v>
      </c>
    </row>
    <row r="15" customFormat="false" ht="15" hidden="false" customHeight="false" outlineLevel="0" collapsed="false">
      <c r="B15" s="8" t="s">
        <v>212</v>
      </c>
      <c r="C15" s="12" t="n">
        <f aca="false">COUNTIF(D5:D10,"进行中")</f>
        <v>0</v>
      </c>
    </row>
    <row r="16" customFormat="false" ht="15" hidden="false" customHeight="false" outlineLevel="0" collapsed="false">
      <c r="B16" s="8" t="s">
        <v>131</v>
      </c>
      <c r="C16" s="12" t="n">
        <f aca="false">COUNTIF(D5:D10,"未开始")</f>
        <v>6</v>
      </c>
    </row>
    <row r="17" customFormat="false" ht="15" hidden="false" customHeight="false" outlineLevel="0" collapsed="false">
      <c r="B17" s="8" t="s">
        <v>213</v>
      </c>
      <c r="C17" s="13" t="n">
        <f aca="false">IFERROR(C14/C13,0)</f>
        <v>0</v>
      </c>
    </row>
  </sheetData>
  <dataValidations count="1">
    <dataValidation allowBlank="false" errorStyle="stop" operator="between" showDropDown="false" showErrorMessage="false" showInputMessage="false" sqref="D5:D10" type="list">
      <formula1>"未开始,进行中,完成"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2026-10-27T01:00:25Z</dcterms:created>
  <dc:creator>openpyxl</dc:creator>
  <dc:description/>
  <dc:language>en-US</dc:language>
  <cp:lastModifiedBy/>
  <dcterms:modified xsi:type="dcterms:W3CDTF">2026-10-27T01:00:25Z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